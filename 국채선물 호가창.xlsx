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ck\Downloads\금융개발\ktb_rtd_monitor\"/>
    </mc:Choice>
  </mc:AlternateContent>
  <bookViews>
    <workbookView xWindow="0" yWindow="0" windowWidth="14700" windowHeight="11310" activeTab="1"/>
  </bookViews>
  <sheets>
    <sheet name="Sheet1" sheetId="1" r:id="rId1"/>
    <sheet name="추가RT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B6" i="2"/>
  <c r="B8" i="2"/>
  <c r="B7" i="2"/>
  <c r="B10" i="2"/>
  <c r="B9" i="2"/>
  <c r="B5" i="2"/>
  <c r="M11" i="1"/>
  <c r="M12" i="1"/>
  <c r="D11" i="1"/>
  <c r="K6" i="1"/>
  <c r="K2" i="1"/>
  <c r="B12" i="1"/>
  <c r="B5" i="1"/>
  <c r="E11" i="1"/>
  <c r="N12" i="1"/>
  <c r="B3" i="2"/>
  <c r="F12" i="1"/>
  <c r="D8" i="1"/>
  <c r="K12" i="1"/>
  <c r="E9" i="1"/>
  <c r="B2" i="1"/>
  <c r="M8" i="1"/>
  <c r="D9" i="1"/>
  <c r="B1" i="2"/>
  <c r="B6" i="1"/>
  <c r="B4" i="1"/>
  <c r="F11" i="1"/>
  <c r="O2" i="1"/>
  <c r="G2" i="1"/>
  <c r="L5" i="1"/>
  <c r="L10" i="1"/>
  <c r="J6" i="1"/>
  <c r="B3" i="1"/>
  <c r="E12" i="1"/>
  <c r="C4" i="1"/>
  <c r="L6" i="1"/>
  <c r="J3" i="1"/>
  <c r="N7" i="1"/>
  <c r="M7" i="1"/>
  <c r="C5" i="1"/>
  <c r="B4" i="2"/>
  <c r="D10" i="1"/>
  <c r="C12" i="1"/>
  <c r="D7" i="1"/>
  <c r="D6" i="1"/>
  <c r="L7" i="1"/>
  <c r="D4" i="1"/>
  <c r="C2" i="1"/>
  <c r="M9" i="1"/>
  <c r="L11" i="1"/>
  <c r="N8" i="1"/>
  <c r="F7" i="1"/>
  <c r="L8" i="1"/>
  <c r="K4" i="1"/>
  <c r="J5" i="1"/>
  <c r="C3" i="1"/>
  <c r="M10" i="1"/>
  <c r="J4" i="1"/>
  <c r="F8" i="1"/>
  <c r="N10" i="1"/>
  <c r="F10" i="1"/>
  <c r="K5" i="1"/>
  <c r="F9" i="1"/>
  <c r="J2" i="1"/>
  <c r="L4" i="1"/>
  <c r="N11" i="1"/>
  <c r="C6" i="1"/>
  <c r="J12" i="1"/>
  <c r="L9" i="1"/>
  <c r="L2" i="1"/>
  <c r="D3" i="1"/>
  <c r="E8" i="1"/>
  <c r="N9" i="1"/>
  <c r="K3" i="1"/>
  <c r="E7" i="1"/>
  <c r="E10" i="1"/>
  <c r="D5" i="1"/>
  <c r="L3" i="1"/>
  <c r="D2" i="1"/>
  <c r="B2" i="2"/>
</calcChain>
</file>

<file path=xl/sharedStrings.xml><?xml version="1.0" encoding="utf-8"?>
<sst xmlns="http://schemas.openxmlformats.org/spreadsheetml/2006/main" count="28" uniqueCount="21">
  <si>
    <t>매수
잔량</t>
    <phoneticPr fontId="1" type="noConversion"/>
  </si>
  <si>
    <t>매도
잔량</t>
    <phoneticPr fontId="1" type="noConversion"/>
  </si>
  <si>
    <t>매수잔량</t>
    <phoneticPr fontId="1" type="noConversion"/>
  </si>
  <si>
    <t>건수</t>
    <phoneticPr fontId="1" type="noConversion"/>
  </si>
  <si>
    <t>매도잔량</t>
    <phoneticPr fontId="1" type="noConversion"/>
  </si>
  <si>
    <t>건수</t>
    <phoneticPr fontId="1" type="noConversion"/>
  </si>
  <si>
    <t xml:space="preserve">3년 국채 선물 </t>
    <phoneticPr fontId="1" type="noConversion"/>
  </si>
  <si>
    <t xml:space="preserve">10년 국채 선물 </t>
    <phoneticPr fontId="1" type="noConversion"/>
  </si>
  <si>
    <t>ㅜ</t>
    <phoneticPr fontId="1" type="noConversion"/>
  </si>
  <si>
    <t>체결가</t>
    <phoneticPr fontId="1" type="noConversion"/>
  </si>
  <si>
    <t>3선 외국인 누적 매수</t>
    <phoneticPr fontId="1" type="noConversion"/>
  </si>
  <si>
    <t xml:space="preserve">3선 외국인 누적 매도 </t>
    <phoneticPr fontId="1" type="noConversion"/>
  </si>
  <si>
    <t>3선 선물가격</t>
    <phoneticPr fontId="1" type="noConversion"/>
  </si>
  <si>
    <t>10선 외국인 누적 매수</t>
    <phoneticPr fontId="1" type="noConversion"/>
  </si>
  <si>
    <t xml:space="preserve">10선 외국인 누적 매도 </t>
    <phoneticPr fontId="1" type="noConversion"/>
  </si>
  <si>
    <t>10선 선물가격</t>
    <phoneticPr fontId="1" type="noConversion"/>
  </si>
  <si>
    <t>현물 3년(%)</t>
    <phoneticPr fontId="1" type="noConversion"/>
  </si>
  <si>
    <t>현물 10년(%)</t>
    <phoneticPr fontId="1" type="noConversion"/>
  </si>
  <si>
    <t>3선 선물수익률 (%)</t>
    <phoneticPr fontId="1" type="noConversion"/>
  </si>
  <si>
    <t>10선 선물수익률 (%)</t>
    <phoneticPr fontId="1" type="noConversion"/>
  </si>
  <si>
    <t>현물 5년(%)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</si>
</sst>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2" fontId="0" fillId="2" borderId="1" xfId="0" applyNumberFormat="1" applyFill="1" applyBorder="1">
      <alignment vertical="center"/>
    </xf>
    <xf numFmtId="0" fontId="0" fillId="6" borderId="0" xfId="0" applyFill="1">
      <alignment vertical="center"/>
    </xf>
    <xf numFmtId="41" fontId="0" fillId="0" borderId="0" xfId="1" applyFo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checkexpert.rtd">
      <tp>
        <v>52663</v>
        <stp/>
        <stp>17966^11</stp>
        <stp>*016</stp>
        <tr r="B8" s="2"/>
      </tp>
      <tp>
        <v>94277</v>
        <stp/>
        <stp>17967^11</stp>
        <stp>*017</stp>
        <tr r="B3" s="2"/>
      </tp>
      <tp>
        <v>90642</v>
        <stp/>
        <stp>17966^11</stp>
        <stp>*017</stp>
        <tr r="B4" s="2"/>
      </tp>
      <tp>
        <v>53035</v>
        <stp/>
        <stp>17967^11</stp>
        <stp>*016</stp>
        <tr r="B7" s="2"/>
      </tp>
      <tp>
        <v>3.8220000000000001</v>
        <stp/>
        <stp>15175</stp>
        <stp>KTBS03*161</stp>
        <tr r="B1" s="2"/>
      </tp>
      <tp>
        <v>3.9649999999999999</v>
        <stp/>
        <stp>15175</stp>
        <stp>KTBS05*161</stp>
        <tr r="B11" s="2"/>
      </tp>
      <tp>
        <v>4.16</v>
        <stp/>
        <stp>15175</stp>
        <stp>KTBS10*161</stp>
        <tr r="B2" s="2"/>
      </tp>
      <tp>
        <v>4.1669999999999998</v>
        <stp/>
        <stp>15175</stp>
        <stp>KXFA020</stp>
        <tr r="B10" s="2"/>
      </tp>
      <tp>
        <v>3.8809999999999998</v>
        <stp/>
        <stp>15175</stp>
        <stp>KBFA020</stp>
        <tr r="B6" s="2"/>
      </tp>
      <tp>
        <v>106.76</v>
        <stp/>
        <stp>15001</stp>
        <stp>KXFA020</stp>
        <tr r="O2" s="1"/>
        <tr r="B9" s="2"/>
      </tp>
      <tp>
        <v>103.14</v>
        <stp/>
        <stp>15001</stp>
        <stp>KBFA020</stp>
        <tr r="G2" s="1"/>
        <tr r="B5" s="2"/>
      </tp>
      <tp>
        <v>106.79</v>
        <stp/>
        <stp>14504</stp>
        <stp>KXFA020</stp>
        <tr r="L3" s="1"/>
      </tp>
      <tp>
        <v>106.8</v>
        <stp/>
        <stp>14505</stp>
        <stp>KXFA020</stp>
        <tr r="L2" s="1"/>
      </tp>
      <tp>
        <v>106.76</v>
        <stp/>
        <stp>14501</stp>
        <stp>KXFA020</stp>
        <tr r="L6" s="1"/>
      </tp>
      <tp>
        <v>106.77</v>
        <stp/>
        <stp>14502</stp>
        <stp>KXFA020</stp>
        <tr r="L5" s="1"/>
      </tp>
      <tp>
        <v>106.78</v>
        <stp/>
        <stp>14503</stp>
        <stp>KXFA020</stp>
        <tr r="L4" s="1"/>
      </tp>
      <tp>
        <v>84</v>
        <stp/>
        <stp>14514</stp>
        <stp>KXFA020</stp>
        <tr r="K3" s="1"/>
      </tp>
      <tp>
        <v>160</v>
        <stp/>
        <stp>14515</stp>
        <stp>KXFA020</stp>
        <tr r="K2" s="1"/>
      </tp>
      <tp>
        <v>24</v>
        <stp/>
        <stp>14511</stp>
        <stp>KXFA020</stp>
        <tr r="K6" s="1"/>
      </tp>
      <tp>
        <v>132</v>
        <stp/>
        <stp>14512</stp>
        <stp>KXFA020</stp>
        <tr r="K5" s="1"/>
      </tp>
      <tp>
        <v>100</v>
        <stp/>
        <stp>14513</stp>
        <stp>KXFA020</stp>
        <tr r="K4" s="1"/>
      </tp>
      <tp>
        <v>106.7</v>
        <stp/>
        <stp>14534</stp>
        <stp>KXFA020</stp>
        <tr r="L10" s="1"/>
      </tp>
      <tp>
        <v>106.69</v>
        <stp/>
        <stp>14535</stp>
        <stp>KXFA020</stp>
        <tr r="L11" s="1"/>
      </tp>
      <tp>
        <v>106.75</v>
        <stp/>
        <stp>14531</stp>
        <stp>KXFA020</stp>
        <tr r="L7" s="1"/>
      </tp>
      <tp>
        <v>106.72</v>
        <stp/>
        <stp>14532</stp>
        <stp>KXFA020</stp>
        <tr r="L8" s="1"/>
      </tp>
      <tp>
        <v>106.71</v>
        <stp/>
        <stp>14533</stp>
        <stp>KXFA020</stp>
        <tr r="L9" s="1"/>
      </tp>
      <tp>
        <v>175</v>
        <stp/>
        <stp>14544</stp>
        <stp>KXFA020</stp>
        <tr r="M10" s="1"/>
      </tp>
      <tp>
        <v>44</v>
        <stp/>
        <stp>14545</stp>
        <stp>KXFA020</stp>
        <tr r="M11" s="1"/>
      </tp>
      <tp>
        <v>200</v>
        <stp/>
        <stp>14541</stp>
        <stp>KXFA020</stp>
        <tr r="M7" s="1"/>
      </tp>
      <tp>
        <v>45</v>
        <stp/>
        <stp>14542</stp>
        <stp>KXFA020</stp>
        <tr r="M8" s="1"/>
      </tp>
      <tp>
        <v>10</v>
        <stp/>
        <stp>14543</stp>
        <stp>KXFA020</stp>
        <tr r="M9" s="1"/>
      </tp>
      <tp>
        <v>3</v>
        <stp/>
        <stp>14579</stp>
        <stp>KXFA020</stp>
        <tr r="J6" s="1"/>
      </tp>
      <tp>
        <v>1</v>
        <stp/>
        <stp>14589</stp>
        <stp>KXFA020</stp>
        <tr r="N9" s="1"/>
      </tp>
      <tp>
        <v>2</v>
        <stp/>
        <stp>14585</stp>
        <stp>KXFA020</stp>
        <tr r="N8" s="1"/>
      </tp>
      <tp>
        <v>13</v>
        <stp/>
        <stp>14587</stp>
        <stp>KXFA020</stp>
        <tr r="J4" s="1"/>
      </tp>
      <tp>
        <v>1</v>
        <stp/>
        <stp>14581</stp>
        <stp>KXFA020</stp>
        <tr r="N7" s="1"/>
      </tp>
      <tp>
        <v>18</v>
        <stp/>
        <stp>14583</stp>
        <stp>KXFA020</stp>
        <tr r="J5" s="1"/>
      </tp>
      <tp>
        <v>15</v>
        <stp/>
        <stp>14595</stp>
        <stp>KXFA020</stp>
        <tr r="J2" s="1"/>
      </tp>
      <tp>
        <v>7</v>
        <stp/>
        <stp>14597</stp>
        <stp>KXFA020</stp>
        <tr r="N11" s="1"/>
      </tp>
      <tp>
        <v>12</v>
        <stp/>
        <stp>14591</stp>
        <stp>KXFA020</stp>
        <tr r="J3" s="1"/>
      </tp>
      <tp>
        <v>10</v>
        <stp/>
        <stp>14593</stp>
        <stp>KXFA020</stp>
        <tr r="N10" s="1"/>
      </tp>
      <tp>
        <v>11</v>
        <stp/>
        <stp>14589</stp>
        <stp>KBFA020</stp>
        <tr r="F9" s="1"/>
      </tp>
      <tp>
        <v>2</v>
        <stp/>
        <stp>14585</stp>
        <stp>KBFA020</stp>
        <tr r="F8" s="1"/>
      </tp>
      <tp>
        <v>19</v>
        <stp/>
        <stp>14587</stp>
        <stp>KBFA020</stp>
        <tr r="B4" s="1"/>
      </tp>
      <tp>
        <v>5</v>
        <stp/>
        <stp>14581</stp>
        <stp>KBFA020</stp>
        <tr r="F7" s="1"/>
      </tp>
      <tp>
        <v>22</v>
        <stp/>
        <stp>14583</stp>
        <stp>KBFA020</stp>
        <tr r="B5" s="1"/>
      </tp>
      <tp>
        <v>10</v>
        <stp/>
        <stp>14595</stp>
        <stp>KBFA020</stp>
        <tr r="B2" s="1"/>
      </tp>
      <tp>
        <v>13</v>
        <stp/>
        <stp>14597</stp>
        <stp>KBFA020</stp>
        <tr r="F11" s="1"/>
      </tp>
      <tp>
        <v>14</v>
        <stp/>
        <stp>14591</stp>
        <stp>KBFA020</stp>
        <tr r="B3" s="1"/>
      </tp>
      <tp>
        <v>14</v>
        <stp/>
        <stp>14593</stp>
        <stp>KBFA020</stp>
        <tr r="F10" s="1"/>
      </tp>
      <tp>
        <v>103.1</v>
        <stp/>
        <stp>14534</stp>
        <stp>KBFA020</stp>
        <tr r="D10" s="1"/>
      </tp>
      <tp>
        <v>103.09</v>
        <stp/>
        <stp>14535</stp>
        <stp>KBFA020</stp>
        <tr r="D11" s="1"/>
      </tp>
      <tp>
        <v>103.13</v>
        <stp/>
        <stp>14531</stp>
        <stp>KBFA020</stp>
        <tr r="D7" s="1"/>
      </tp>
      <tp>
        <v>103.12</v>
        <stp/>
        <stp>14532</stp>
        <stp>KBFA020</stp>
        <tr r="D8" s="1"/>
      </tp>
      <tp>
        <v>103.11</v>
        <stp/>
        <stp>14533</stp>
        <stp>KBFA020</stp>
        <tr r="D9" s="1"/>
      </tp>
      <tp>
        <v>103.17</v>
        <stp/>
        <stp>14504</stp>
        <stp>KBFA020</stp>
        <tr r="D3" s="1"/>
      </tp>
      <tp>
        <v>103.18</v>
        <stp/>
        <stp>14505</stp>
        <stp>KBFA020</stp>
        <tr r="D2" s="1"/>
      </tp>
      <tp>
        <v>103.14</v>
        <stp/>
        <stp>14501</stp>
        <stp>KBFA020</stp>
        <tr r="D6" s="1"/>
      </tp>
      <tp>
        <v>103.15</v>
        <stp/>
        <stp>14502</stp>
        <stp>KBFA020</stp>
        <tr r="D5" s="1"/>
      </tp>
      <tp>
        <v>103.16</v>
        <stp/>
        <stp>14503</stp>
        <stp>KBFA020</stp>
        <tr r="D4" s="1"/>
      </tp>
      <tp>
        <v>298</v>
        <stp/>
        <stp>14514</stp>
        <stp>KBFA020</stp>
        <tr r="C3" s="1"/>
      </tp>
      <tp>
        <v>171</v>
        <stp/>
        <stp>14515</stp>
        <stp>KBFA020</stp>
        <tr r="C2" s="1"/>
      </tp>
      <tp>
        <v>370</v>
        <stp/>
        <stp>14511</stp>
        <stp>KBFA020</stp>
        <tr r="C6" s="1"/>
      </tp>
      <tp>
        <v>573</v>
        <stp/>
        <stp>14512</stp>
        <stp>KBFA020</stp>
        <tr r="C5" s="1"/>
      </tp>
      <tp>
        <v>293</v>
        <stp/>
        <stp>14513</stp>
        <stp>KBFA020</stp>
        <tr r="C4" s="1"/>
      </tp>
      <tp>
        <v>6</v>
        <stp/>
        <stp>14579</stp>
        <stp>KBFA020</stp>
        <tr r="B6" s="1"/>
      </tp>
      <tp>
        <v>390</v>
        <stp/>
        <stp>14544</stp>
        <stp>KBFA020</stp>
        <tr r="E10" s="1"/>
      </tp>
      <tp>
        <v>473</v>
        <stp/>
        <stp>14545</stp>
        <stp>KBFA020</stp>
        <tr r="E11" s="1"/>
      </tp>
      <tp>
        <v>616</v>
        <stp/>
        <stp>14541</stp>
        <stp>KBFA020</stp>
        <tr r="E7" s="1"/>
      </tp>
      <tp>
        <v>100</v>
        <stp/>
        <stp>14542</stp>
        <stp>KBFA020</stp>
        <tr r="E8" s="1"/>
      </tp>
      <tp>
        <v>483</v>
        <stp/>
        <stp>14543</stp>
        <stp>KBFA020</stp>
        <tr r="E9" s="1"/>
      </tp>
      <tp>
        <v>61</v>
        <stp/>
        <stp>14625</stp>
        <stp>KXFA020</stp>
        <tr r="J12" s="1"/>
      </tp>
      <tp>
        <v>21</v>
        <stp/>
        <stp>14627</stp>
        <stp>KXFA020</stp>
        <tr r="N12" s="1"/>
      </tp>
      <tp>
        <v>500</v>
        <stp/>
        <stp>14621</stp>
        <stp>KXFA020</stp>
        <tr r="K12" s="1"/>
      </tp>
      <tp>
        <v>474</v>
        <stp/>
        <stp>14623</stp>
        <stp>KXFA020</stp>
        <tr r="M12" s="1"/>
      </tp>
      <tp>
        <v>71</v>
        <stp/>
        <stp>14625</stp>
        <stp>KBFA020</stp>
        <tr r="B12" s="1"/>
      </tp>
      <tp>
        <v>45</v>
        <stp/>
        <stp>14627</stp>
        <stp>KBFA020</stp>
        <tr r="F12" s="1"/>
      </tp>
      <tp>
        <v>1705</v>
        <stp/>
        <stp>14621</stp>
        <stp>KBFA020</stp>
        <tr r="C12" s="1"/>
      </tp>
      <tp>
        <v>2062</v>
        <stp/>
        <stp>14623</stp>
        <stp>KBFA020</stp>
        <tr r="E1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F26" sqref="F26"/>
    </sheetView>
  </sheetViews>
  <sheetFormatPr defaultRowHeight="16.5" x14ac:dyDescent="0.3"/>
  <sheetData>
    <row r="1" spans="1:15" x14ac:dyDescent="0.3">
      <c r="A1" s="10" t="s">
        <v>6</v>
      </c>
      <c r="B1" s="10"/>
      <c r="C1" s="10"/>
      <c r="D1" s="10"/>
      <c r="E1" s="10"/>
      <c r="F1" s="10"/>
      <c r="G1" s="10"/>
      <c r="I1" s="10" t="s">
        <v>7</v>
      </c>
      <c r="J1" s="10"/>
      <c r="K1" s="10"/>
      <c r="L1" s="10"/>
      <c r="M1" s="10"/>
      <c r="N1" s="10"/>
      <c r="O1" s="10"/>
    </row>
    <row r="2" spans="1:15" x14ac:dyDescent="0.3">
      <c r="A2" s="8" t="s">
        <v>1</v>
      </c>
      <c r="B2" s="1">
        <f>RTD("checkexpert.rtd",,"14595","KBFA020")</f>
        <v>10</v>
      </c>
      <c r="C2" s="1">
        <f>RTD("checkexpert.rtd",,"14515","KBFA020")</f>
        <v>171</v>
      </c>
      <c r="D2" s="2">
        <f>RTD("checkexpert.rtd",,"14505","KBFA020")</f>
        <v>103.18</v>
      </c>
      <c r="F2" s="6" t="s">
        <v>9</v>
      </c>
      <c r="G2" s="6">
        <f>RTD("checkexpert.rtd",,"15001","KBFA020")</f>
        <v>103.14</v>
      </c>
      <c r="I2" s="8" t="s">
        <v>1</v>
      </c>
      <c r="J2" s="1">
        <f>RTD("checkexpert.rtd",,"14595","KXFA020")</f>
        <v>15</v>
      </c>
      <c r="K2" s="1">
        <f>RTD("checkexpert.rtd",,"14515","KXFA020")</f>
        <v>160</v>
      </c>
      <c r="L2" s="2">
        <f>RTD("checkexpert.rtd",,"14505","KXFA020")</f>
        <v>106.8</v>
      </c>
      <c r="N2" s="6" t="s">
        <v>9</v>
      </c>
      <c r="O2" s="6">
        <f>RTD("checkexpert.rtd",,"15001","KXFA020")</f>
        <v>106.76</v>
      </c>
    </row>
    <row r="3" spans="1:15" x14ac:dyDescent="0.3">
      <c r="A3" s="9"/>
      <c r="B3" s="1">
        <f>RTD("checkexpert.rtd",,"14591","KBFA020")</f>
        <v>14</v>
      </c>
      <c r="C3" s="1">
        <f>RTD("checkexpert.rtd",,"14514","KBFA020")</f>
        <v>298</v>
      </c>
      <c r="D3" s="2">
        <f>RTD("checkexpert.rtd",,"14504","KBFA020")</f>
        <v>103.17</v>
      </c>
      <c r="I3" s="9"/>
      <c r="J3" s="1">
        <f>RTD("checkexpert.rtd",,"14591","KXFA020")</f>
        <v>12</v>
      </c>
      <c r="K3" s="1">
        <f>RTD("checkexpert.rtd",,"14514","KXFA020")</f>
        <v>84</v>
      </c>
      <c r="L3" s="2">
        <f>RTD("checkexpert.rtd",,"14504","KXFA020")</f>
        <v>106.79</v>
      </c>
    </row>
    <row r="4" spans="1:15" x14ac:dyDescent="0.3">
      <c r="A4" s="9"/>
      <c r="B4" s="1">
        <f>RTD("checkexpert.rtd",,"14587","KBFA020")</f>
        <v>19</v>
      </c>
      <c r="C4" s="1">
        <f>RTD("checkexpert.rtd",,"14513","KBFA020")</f>
        <v>293</v>
      </c>
      <c r="D4" s="2">
        <f>RTD("checkexpert.rtd",,"14503","KBFA020")</f>
        <v>103.16</v>
      </c>
      <c r="I4" s="9"/>
      <c r="J4" s="1">
        <f>RTD("checkexpert.rtd",,"14587","KXFA020")</f>
        <v>13</v>
      </c>
      <c r="K4" s="1">
        <f>RTD("checkexpert.rtd",,"14513","KXFA020")</f>
        <v>100</v>
      </c>
      <c r="L4" s="2">
        <f>RTD("checkexpert.rtd",,"14503","KXFA020")</f>
        <v>106.78</v>
      </c>
    </row>
    <row r="5" spans="1:15" x14ac:dyDescent="0.3">
      <c r="A5" s="9"/>
      <c r="B5" s="1">
        <f>RTD("checkexpert.rtd",,"14583","KBFA020")</f>
        <v>22</v>
      </c>
      <c r="C5" s="1">
        <f>RTD("checkexpert.rtd",,"14512","KBFA020")</f>
        <v>573</v>
      </c>
      <c r="D5" s="2">
        <f>RTD("checkexpert.rtd",,"14502","KBFA020")</f>
        <v>103.15</v>
      </c>
      <c r="I5" s="9"/>
      <c r="J5" s="1">
        <f>RTD("checkexpert.rtd",,"14583","KXFA020")</f>
        <v>18</v>
      </c>
      <c r="K5" s="1">
        <f>RTD("checkexpert.rtd",,"14512","KXFA020")</f>
        <v>132</v>
      </c>
      <c r="L5" s="5">
        <f>RTD("checkexpert.rtd",,"14502","KXFA020")</f>
        <v>106.77</v>
      </c>
    </row>
    <row r="6" spans="1:15" x14ac:dyDescent="0.3">
      <c r="A6" s="9"/>
      <c r="B6" s="1">
        <f>RTD("checkexpert.rtd",,"14579","KBFA020")</f>
        <v>6</v>
      </c>
      <c r="C6" s="1">
        <f>RTD("checkexpert.rtd",,"14511","KBFA020")</f>
        <v>370</v>
      </c>
      <c r="D6" s="3">
        <f>RTD("checkexpert.rtd",,"14501","KBFA020")</f>
        <v>103.14</v>
      </c>
      <c r="I6" s="9"/>
      <c r="J6" s="1">
        <f>RTD("checkexpert.rtd",,"14579","KXFA020")</f>
        <v>3</v>
      </c>
      <c r="K6" s="1">
        <f>RTD("checkexpert.rtd",,"14511","KXFA020")</f>
        <v>24</v>
      </c>
      <c r="L6" s="2">
        <f>RTD("checkexpert.rtd",,"14501","KXFA020")</f>
        <v>106.76</v>
      </c>
    </row>
    <row r="7" spans="1:15" x14ac:dyDescent="0.3">
      <c r="D7" s="4">
        <f>RTD("checkexpert.rtd",,"14531","KBFA020")</f>
        <v>103.13</v>
      </c>
      <c r="E7" s="1">
        <f>RTD("checkexpert.rtd",,"14541","KBFA020")</f>
        <v>616</v>
      </c>
      <c r="F7" s="1">
        <f>RTD("checkexpert.rtd",,"14581","KBFA020")</f>
        <v>5</v>
      </c>
      <c r="G7" s="8" t="s">
        <v>0</v>
      </c>
      <c r="L7" s="4">
        <f>RTD("checkexpert.rtd",,"14531","KXFA020")</f>
        <v>106.75</v>
      </c>
      <c r="M7" s="1">
        <f>RTD("checkexpert.rtd",,"14541","KXFA020")</f>
        <v>200</v>
      </c>
      <c r="N7" s="1">
        <f>RTD("checkexpert.rtd",,"14581","KXFA020")</f>
        <v>1</v>
      </c>
      <c r="O7" s="8" t="s">
        <v>0</v>
      </c>
    </row>
    <row r="8" spans="1:15" x14ac:dyDescent="0.3">
      <c r="D8" s="4">
        <f>RTD("checkexpert.rtd",,"14532","KBFA020")</f>
        <v>103.12</v>
      </c>
      <c r="E8" s="1">
        <f>RTD("checkexpert.rtd",,"14542","KBFA020")</f>
        <v>100</v>
      </c>
      <c r="F8" s="1">
        <f>RTD("checkexpert.rtd",,"14585","KBFA020")</f>
        <v>2</v>
      </c>
      <c r="G8" s="9"/>
      <c r="L8" s="4">
        <f>RTD("checkexpert.rtd",,"14532","KXFA020")</f>
        <v>106.72</v>
      </c>
      <c r="M8" s="1">
        <f>RTD("checkexpert.rtd",,"14542","KXFA020")</f>
        <v>45</v>
      </c>
      <c r="N8" s="1">
        <f>RTD("checkexpert.rtd",,"14585","KXFA020")</f>
        <v>2</v>
      </c>
      <c r="O8" s="9"/>
    </row>
    <row r="9" spans="1:15" x14ac:dyDescent="0.3">
      <c r="D9" s="4">
        <f>RTD("checkexpert.rtd",,"14533","KBFA020")</f>
        <v>103.11</v>
      </c>
      <c r="E9" s="1">
        <f>RTD("checkexpert.rtd",,"14543","KBFA020")</f>
        <v>483</v>
      </c>
      <c r="F9" s="1">
        <f>RTD("checkexpert.rtd",,"14589","KBFA020")</f>
        <v>11</v>
      </c>
      <c r="G9" s="9"/>
      <c r="L9" s="4">
        <f>RTD("checkexpert.rtd",,"14533","KXFA020")</f>
        <v>106.71</v>
      </c>
      <c r="M9" s="1">
        <f>RTD("checkexpert.rtd",,"14543","KXFA020")</f>
        <v>10</v>
      </c>
      <c r="N9" s="1">
        <f>RTD("checkexpert.rtd",,"14589","KXFA020")</f>
        <v>1</v>
      </c>
      <c r="O9" s="9"/>
    </row>
    <row r="10" spans="1:15" x14ac:dyDescent="0.3">
      <c r="D10" s="4">
        <f>RTD("checkexpert.rtd",,"14534","KBFA020")</f>
        <v>103.1</v>
      </c>
      <c r="E10" s="1">
        <f>RTD("checkexpert.rtd",,"14544","KBFA020")</f>
        <v>390</v>
      </c>
      <c r="F10" s="1">
        <f>RTD("checkexpert.rtd",,"14593","KBFA020")</f>
        <v>14</v>
      </c>
      <c r="G10" s="9"/>
      <c r="L10" s="4">
        <f>RTD("checkexpert.rtd",,"14534","KXFA020")</f>
        <v>106.7</v>
      </c>
      <c r="M10" s="1">
        <f>RTD("checkexpert.rtd",,"14544","KXFA020")</f>
        <v>175</v>
      </c>
      <c r="N10" s="1">
        <f>RTD("checkexpert.rtd",,"14593","KXFA020")</f>
        <v>10</v>
      </c>
      <c r="O10" s="9"/>
    </row>
    <row r="11" spans="1:15" x14ac:dyDescent="0.3">
      <c r="D11" s="4">
        <f>RTD("checkexpert.rtd",,"14535","KBFA020")</f>
        <v>103.09</v>
      </c>
      <c r="E11" s="1">
        <f>RTD("checkexpert.rtd",,"14545","KBFA020")</f>
        <v>473</v>
      </c>
      <c r="F11" s="1">
        <f>RTD("checkexpert.rtd",,"14597","KBFA020")</f>
        <v>13</v>
      </c>
      <c r="G11" s="9"/>
      <c r="L11" s="4">
        <f>RTD("checkexpert.rtd",,"14535","KXFA020")</f>
        <v>106.69</v>
      </c>
      <c r="M11" s="1">
        <f>RTD("checkexpert.rtd",,"14545","KXFA020")</f>
        <v>44</v>
      </c>
      <c r="N11" s="1">
        <f>RTD("checkexpert.rtd",,"14597","KXFA020")</f>
        <v>7</v>
      </c>
      <c r="O11" s="9"/>
    </row>
    <row r="12" spans="1:15" x14ac:dyDescent="0.3">
      <c r="B12">
        <f>RTD("checkexpert.rtd",,"14625","KBFA020")</f>
        <v>71</v>
      </c>
      <c r="C12">
        <f>RTD("checkexpert.rtd",,"14621","KBFA020")</f>
        <v>1705</v>
      </c>
      <c r="D12">
        <v>0</v>
      </c>
      <c r="E12">
        <f>RTD("checkexpert.rtd",,"14623","KBFA020")</f>
        <v>2062</v>
      </c>
      <c r="F12">
        <f>RTD("checkexpert.rtd",,"14627","KBFA020")</f>
        <v>45</v>
      </c>
      <c r="J12">
        <f>RTD("checkexpert.rtd",,"14625","KXFA020")</f>
        <v>61</v>
      </c>
      <c r="K12">
        <f>RTD("checkexpert.rtd",,"14621","KXFA020")</f>
        <v>500</v>
      </c>
      <c r="M12">
        <f>RTD("checkexpert.rtd",,"14623","KXFA020")</f>
        <v>474</v>
      </c>
      <c r="N12">
        <f>RTD("checkexpert.rtd",,"14627","KXFA020")</f>
        <v>21</v>
      </c>
    </row>
    <row r="13" spans="1:15" x14ac:dyDescent="0.3">
      <c r="B13" t="s">
        <v>5</v>
      </c>
      <c r="C13" t="s">
        <v>4</v>
      </c>
      <c r="E13" t="s">
        <v>2</v>
      </c>
      <c r="F13" t="s">
        <v>3</v>
      </c>
      <c r="J13" t="s">
        <v>5</v>
      </c>
      <c r="K13" t="s">
        <v>4</v>
      </c>
      <c r="M13" t="s">
        <v>2</v>
      </c>
      <c r="N13" t="s">
        <v>3</v>
      </c>
    </row>
    <row r="25" spans="18:18" x14ac:dyDescent="0.3">
      <c r="R25" t="s">
        <v>8</v>
      </c>
    </row>
  </sheetData>
  <mergeCells count="6">
    <mergeCell ref="G7:G11"/>
    <mergeCell ref="A2:A6"/>
    <mergeCell ref="A1:G1"/>
    <mergeCell ref="I1:O1"/>
    <mergeCell ref="I2:I6"/>
    <mergeCell ref="O7:O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12" sqref="E12"/>
    </sheetView>
  </sheetViews>
  <sheetFormatPr defaultRowHeight="16.5" x14ac:dyDescent="0.3"/>
  <cols>
    <col min="1" max="1" width="22.25" bestFit="1" customWidth="1"/>
    <col min="2" max="2" width="9.375" bestFit="1" customWidth="1"/>
  </cols>
  <sheetData>
    <row r="1" spans="1:2" x14ac:dyDescent="0.3">
      <c r="A1" t="s">
        <v>16</v>
      </c>
      <c r="B1">
        <f>RTD("checkexpert.rtd",,"15175","KTBS03*161")</f>
        <v>3.8220000000000001</v>
      </c>
    </row>
    <row r="2" spans="1:2" x14ac:dyDescent="0.3">
      <c r="A2" t="s">
        <v>17</v>
      </c>
      <c r="B2">
        <f>RTD("checkexpert.rtd",,"15175","KTBS10*161")</f>
        <v>4.16</v>
      </c>
    </row>
    <row r="3" spans="1:2" x14ac:dyDescent="0.3">
      <c r="A3" t="s">
        <v>10</v>
      </c>
      <c r="B3" s="7">
        <f>RTD("checkexpert.rtd",,"17967^11","*017")</f>
        <v>94277</v>
      </c>
    </row>
    <row r="4" spans="1:2" x14ac:dyDescent="0.3">
      <c r="A4" t="s">
        <v>11</v>
      </c>
      <c r="B4" s="7">
        <f>RTD("checkexpert.rtd",,"17966^11","*017")</f>
        <v>90642</v>
      </c>
    </row>
    <row r="5" spans="1:2" x14ac:dyDescent="0.3">
      <c r="A5" t="s">
        <v>12</v>
      </c>
      <c r="B5">
        <f>RTD("checkexpert.rtd",,"15001","KBFA020")</f>
        <v>103.14</v>
      </c>
    </row>
    <row r="6" spans="1:2" x14ac:dyDescent="0.3">
      <c r="A6" t="s">
        <v>18</v>
      </c>
      <c r="B6">
        <f>RTD("checkexpert.rtd",,"15175","KBFA020")</f>
        <v>3.8809999999999998</v>
      </c>
    </row>
    <row r="7" spans="1:2" x14ac:dyDescent="0.3">
      <c r="A7" t="s">
        <v>13</v>
      </c>
      <c r="B7" s="7">
        <f>RTD("checkexpert.rtd",,"17967^11","*016")</f>
        <v>53035</v>
      </c>
    </row>
    <row r="8" spans="1:2" x14ac:dyDescent="0.3">
      <c r="A8" t="s">
        <v>14</v>
      </c>
      <c r="B8" s="7">
        <f>RTD("checkexpert.rtd",,"17966^11","*016")</f>
        <v>52663</v>
      </c>
    </row>
    <row r="9" spans="1:2" x14ac:dyDescent="0.3">
      <c r="A9" t="s">
        <v>15</v>
      </c>
      <c r="B9">
        <f>RTD("checkexpert.rtd",,"15001","KXFA020")</f>
        <v>106.76</v>
      </c>
    </row>
    <row r="10" spans="1:2" x14ac:dyDescent="0.3">
      <c r="A10" t="s">
        <v>19</v>
      </c>
      <c r="B10">
        <f>RTD("checkexpert.rtd",,"15175","KXFA020")</f>
        <v>4.1669999999999998</v>
      </c>
    </row>
    <row r="11" spans="1:2" x14ac:dyDescent="0.3">
      <c r="A11" t="s">
        <v>20</v>
      </c>
      <c r="B11">
        <f>RTD("checkexpert.rtd",,"15175","KTBS05*161")</f>
        <v>3.9649999999999999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추가RTD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2026-10-02T04:26:54Z</dcterms:created>
  <dcterms:modified xsi:type="dcterms:W3CDTF">2026-10-21T07:18:20Z</dcterms:modified>
</cp:coreProperties>
</file>